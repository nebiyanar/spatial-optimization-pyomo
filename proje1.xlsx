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fs\OneDrive\Desktop\308\"/>
    </mc:Choice>
  </mc:AlternateContent>
  <xr:revisionPtr revIDLastSave="0" documentId="13_ncr:1_{39FC31CD-2D13-4754-B6FF-7B228693FB07}" xr6:coauthVersionLast="47" xr6:coauthVersionMax="47" xr10:uidLastSave="{00000000-0000-0000-0000-000000000000}"/>
  <bookViews>
    <workbookView xWindow="-108" yWindow="-108" windowWidth="23256" windowHeight="12456" xr2:uid="{1847E446-4873-4420-A1B7-882FF077466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Sheet1!$A$1:$E$13</definedName>
    <definedName name="_xlnm._FilterDatabase" localSheetId="1" hidden="1">Sheet2!$A$1:$F$35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6" i="2"/>
  <c r="G9" i="2"/>
  <c r="G10" i="2"/>
  <c r="G5" i="2"/>
  <c r="G7" i="2"/>
  <c r="G8" i="2"/>
  <c r="G11" i="2"/>
  <c r="G12" i="2"/>
  <c r="G13" i="2"/>
  <c r="G14" i="2"/>
  <c r="G15" i="2"/>
  <c r="G16" i="2"/>
  <c r="G17" i="2"/>
  <c r="G18" i="2"/>
  <c r="G19" i="2"/>
  <c r="G20" i="2"/>
  <c r="G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<sst xmlns="http://schemas.openxmlformats.org/spreadsheetml/2006/main" count="77" uniqueCount="73">
  <si>
    <t>Bölge (Bezirk)</t>
  </si>
  <si>
    <t>Mitte</t>
  </si>
  <si>
    <t>F-Kreuzberg</t>
  </si>
  <si>
    <t>Charlottenburg</t>
  </si>
  <si>
    <t>Neukölln</t>
  </si>
  <si>
    <t>Tempelhof-Sch.</t>
  </si>
  <si>
    <t>Spandau</t>
  </si>
  <si>
    <t>Steglitz-Zehl.</t>
  </si>
  <si>
    <t>Pankow</t>
  </si>
  <si>
    <t>Reinickendorf</t>
  </si>
  <si>
    <t>Lichtenberg</t>
  </si>
  <si>
    <t>Borough</t>
  </si>
  <si>
    <t>Bundestag constituency</t>
  </si>
  <si>
    <t>Population</t>
  </si>
  <si>
    <t>31 December 2023</t>
  </si>
  <si>
    <t>Area</t>
  </si>
  <si>
    <r>
      <t>in km</t>
    </r>
    <r>
      <rPr>
        <b/>
        <vertAlign val="superscript"/>
        <sz val="7"/>
        <color rgb="FF202122"/>
        <rFont val="Arial"/>
        <family val="2"/>
      </rPr>
      <t>2</t>
    </r>
  </si>
  <si>
    <t>Density</t>
  </si>
  <si>
    <r>
      <t>per km</t>
    </r>
    <r>
      <rPr>
        <b/>
        <vertAlign val="superscript"/>
        <sz val="7"/>
        <color rgb="FF202122"/>
        <rFont val="Arial"/>
        <family val="2"/>
      </rPr>
      <t>2</t>
    </r>
  </si>
  <si>
    <t>Map</t>
  </si>
  <si>
    <t>Charlottenburg-Wilmersdorf</t>
  </si>
  <si>
    <t>Berlin-Charlottenburg-Wilmersdorf</t>
  </si>
  <si>
    <t>(excluding Charlottenburg-Nord and the neighbourhood of Kalowswerder)</t>
  </si>
  <si>
    <t>Friedrichshain-Kreuzberg</t>
  </si>
  <si>
    <t>Berlin-Friedrichshain-Kreuzberg – Prenzlauer Berg East</t>
  </si>
  <si>
    <r>
      <t>Lichtenberg</t>
    </r>
    <r>
      <rPr>
        <vertAlign val="superscript"/>
        <sz val="8"/>
        <color rgb="FF3366CC"/>
        <rFont val="Arial"/>
        <family val="2"/>
      </rPr>
      <t>[a]</t>
    </r>
  </si>
  <si>
    <t>Berlin-Lichtenberg</t>
  </si>
  <si>
    <r>
      <t>Marzahn-Hellersdorf</t>
    </r>
    <r>
      <rPr>
        <vertAlign val="superscript"/>
        <sz val="8"/>
        <color rgb="FF3366CC"/>
        <rFont val="Arial"/>
        <family val="2"/>
      </rPr>
      <t>[b]</t>
    </r>
  </si>
  <si>
    <t>Berlin-Marzahn-Hellersdorf</t>
  </si>
  <si>
    <t>Berlin-Mitte</t>
  </si>
  <si>
    <t>Berlin-Neukölln</t>
  </si>
  <si>
    <r>
      <t>Pankow</t>
    </r>
    <r>
      <rPr>
        <vertAlign val="superscript"/>
        <sz val="8"/>
        <color rgb="FF3366CC"/>
        <rFont val="Arial"/>
        <family val="2"/>
      </rPr>
      <t>[c]</t>
    </r>
  </si>
  <si>
    <t>Berlin-Pankow</t>
  </si>
  <si>
    <r>
      <t>(excluding </t>
    </r>
    <r>
      <rPr>
        <sz val="10"/>
        <color rgb="FF3366CC"/>
        <rFont val="Arial"/>
        <family val="2"/>
      </rPr>
      <t>Prenzlauer Berg</t>
    </r>
    <r>
      <rPr>
        <sz val="10"/>
        <color rgb="FF202122"/>
        <rFont val="Arial"/>
        <family val="2"/>
      </rPr>
      <t> east of </t>
    </r>
    <r>
      <rPr>
        <sz val="10"/>
        <color rgb="FF3366CC"/>
        <rFont val="Arial"/>
        <family val="2"/>
      </rPr>
      <t>Prenzlauer Allee</t>
    </r>
    <r>
      <rPr>
        <sz val="10"/>
        <color rgb="FF202122"/>
        <rFont val="Arial"/>
        <family val="2"/>
      </rPr>
      <t>)</t>
    </r>
  </si>
  <si>
    <t>Berlin-Reinickendorf</t>
  </si>
  <si>
    <t>Berlin-Spandau – Charlottenburg North</t>
  </si>
  <si>
    <t>Steglitz-Zehlendorf</t>
  </si>
  <si>
    <t>Berlin-Steglitz-Zehlendorf</t>
  </si>
  <si>
    <t>Tempelhof-Schöneberg</t>
  </si>
  <si>
    <t>Berlin-Tempelhof-Schöneberg</t>
  </si>
  <si>
    <r>
      <t>Treptow-Köpenick</t>
    </r>
    <r>
      <rPr>
        <vertAlign val="superscript"/>
        <sz val="8"/>
        <color rgb="FF3366CC"/>
        <rFont val="Arial"/>
        <family val="2"/>
      </rPr>
      <t>[d]</t>
    </r>
  </si>
  <si>
    <t>Berlin-Treptow-Köpenick</t>
  </si>
  <si>
    <t>Lat / Lon (Merkez)</t>
  </si>
  <si>
    <t>Nüfus (1-10)</t>
  </si>
  <si>
    <t>Trafik &amp; Araç (1-10)</t>
  </si>
  <si>
    <t>Sanayi (1-10)</t>
  </si>
  <si>
    <t>Gerekçe (Gerçek Veri)</t>
  </si>
  <si>
    <t>52.517, 13.400</t>
  </si>
  <si>
    <t>Turist çok ama araç trafiği kısıtlı, park yeri yok.</t>
  </si>
  <si>
    <t>52.500, 13.435</t>
  </si>
  <si>
    <t>En yoğun nüfus ama "Yeşil" bölge, araç kullanımı düşük.</t>
  </si>
  <si>
    <t>52.570, 13.400</t>
  </si>
  <si>
    <t>Çok kalabalık konut bölgesi, sanayi çok az.</t>
  </si>
  <si>
    <t>52.510, 13.300</t>
  </si>
  <si>
    <r>
      <t>A100 Otoyolu</t>
    </r>
    <r>
      <rPr>
        <sz val="11"/>
        <color rgb="FF1F1F1F"/>
        <rFont val="Arial"/>
        <family val="2"/>
      </rPr>
      <t>, City West, lüks araç sahipliği yüksek.</t>
    </r>
  </si>
  <si>
    <t>52.530, 13.190</t>
  </si>
  <si>
    <r>
      <t>Siemensstadt Sanayi Bölgesi</t>
    </r>
    <r>
      <rPr>
        <sz val="11"/>
        <color rgb="FF1F1F1F"/>
        <rFont val="Arial"/>
        <family val="2"/>
      </rPr>
      <t>, lojistik depoları.</t>
    </r>
  </si>
  <si>
    <t>52.430, 13.260</t>
  </si>
  <si>
    <t>Zengin banliyö, hane başı araç sayısı yüksek (B1 yolu).</t>
  </si>
  <si>
    <t>52.460, 13.380</t>
  </si>
  <si>
    <r>
      <t>A100 Ring</t>
    </r>
    <r>
      <rPr>
        <sz val="11"/>
        <color rgb="FF1F1F1F"/>
        <rFont val="Arial"/>
        <family val="2"/>
      </rPr>
      <t>, büyük sanayi alanları, merkezi konum.</t>
    </r>
  </si>
  <si>
    <t>52.480, 13.435</t>
  </si>
  <si>
    <t>Yoğun nüfus + A100 bağlantısı + sanayi karışık.</t>
  </si>
  <si>
    <t>Treptow-Köp.</t>
  </si>
  <si>
    <t>52.420, 13.520</t>
  </si>
  <si>
    <r>
      <t>Adlershof</t>
    </r>
    <r>
      <rPr>
        <sz val="11"/>
        <color rgb="FF1F1F1F"/>
        <rFont val="Arial"/>
        <family val="2"/>
      </rPr>
      <t xml:space="preserve"> Teknoloji Parkı, BER Havalimanı yolu.</t>
    </r>
  </si>
  <si>
    <t>Marzahn-Hell.</t>
  </si>
  <si>
    <t>52.540, 13.560</t>
  </si>
  <si>
    <r>
      <t>CleanTech Park</t>
    </r>
    <r>
      <rPr>
        <sz val="11"/>
        <color rgb="FF1F1F1F"/>
        <rFont val="Arial"/>
        <family val="2"/>
      </rPr>
      <t>, Berlin'in en büyük sanayi bölgelerinden.</t>
    </r>
  </si>
  <si>
    <t>52.520, 13.500</t>
  </si>
  <si>
    <t>Doğu geçiş noktası, sanayi ve konut dengeli.</t>
  </si>
  <si>
    <t>52.590, 13.330</t>
  </si>
  <si>
    <r>
      <t>A111 Hamburg çıkışı</t>
    </r>
    <r>
      <rPr>
        <sz val="11"/>
        <color rgb="FF1F1F1F"/>
        <rFont val="Arial"/>
        <family val="2"/>
      </rPr>
      <t>, eski Tegel kargo bölgesi.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</si>
</sst>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202122"/>
      <name val="Arial"/>
      <family val="2"/>
    </font>
    <font>
      <b/>
      <sz val="10"/>
      <color rgb="FF202122"/>
      <name val="Arial"/>
      <family val="2"/>
    </font>
    <font>
      <b/>
      <sz val="8"/>
      <color rgb="FF202122"/>
      <name val="Arial"/>
      <family val="2"/>
    </font>
    <font>
      <b/>
      <vertAlign val="superscript"/>
      <sz val="7"/>
      <color rgb="FF202122"/>
      <name val="Arial"/>
      <family val="2"/>
    </font>
    <font>
      <sz val="10"/>
      <color rgb="FF3366CC"/>
      <name val="Arial"/>
      <family val="2"/>
    </font>
    <font>
      <vertAlign val="superscript"/>
      <sz val="8"/>
      <color rgb="FF3366CC"/>
      <name val="Arial"/>
      <family val="2"/>
    </font>
    <font>
      <u/>
      <sz val="11"/>
      <color theme="1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808080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808080"/>
      </bottom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80808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9" fillId="3" borderId="4" xfId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9" fillId="2" borderId="4" xfId="1" applyFill="1" applyBorder="1" applyAlignment="1">
      <alignment vertical="center" wrapText="1"/>
    </xf>
    <xf numFmtId="0" fontId="9" fillId="2" borderId="5" xfId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9" fillId="2" borderId="3" xfId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9" fillId="2" borderId="2" xfId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9" fillId="3" borderId="4" xfId="1" applyFill="1" applyBorder="1" applyAlignment="1">
      <alignment horizontal="center" vertical="top" wrapText="1"/>
    </xf>
    <xf numFmtId="0" fontId="9" fillId="3" borderId="5" xfId="1" applyFill="1" applyBorder="1" applyAlignment="1">
      <alignment horizontal="center" vertical="top" wrapText="1"/>
    </xf>
    <xf numFmtId="0" fontId="9" fillId="2" borderId="8" xfId="1" applyFill="1" applyBorder="1" applyAlignment="1">
      <alignment vertical="center" wrapText="1"/>
    </xf>
    <xf numFmtId="0" fontId="9" fillId="2" borderId="5" xfId="1" applyFill="1" applyBorder="1" applyAlignment="1">
      <alignment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right" vertical="center" wrapText="1"/>
    </xf>
    <xf numFmtId="3" fontId="3" fillId="2" borderId="8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The 12 Bezirke of Berlin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Friedrichshain-Kreuzberg" TargetMode="External"/><Relationship Id="rId13" Type="http://schemas.openxmlformats.org/officeDocument/2006/relationships/hyperlink" Target="https://en.wikipedia.org/wiki/Berlin-Mitte_(electoral_district)" TargetMode="External"/><Relationship Id="rId18" Type="http://schemas.openxmlformats.org/officeDocument/2006/relationships/hyperlink" Target="https://en.wikipedia.org/wiki/Berlin-Reinickendorf_(electoral_district)" TargetMode="External"/><Relationship Id="rId3" Type="http://schemas.openxmlformats.org/officeDocument/2006/relationships/hyperlink" Target="https://en.wikipedia.org/wiki/Area" TargetMode="External"/><Relationship Id="rId21" Type="http://schemas.openxmlformats.org/officeDocument/2006/relationships/hyperlink" Target="https://en.wikipedia.org/wiki/Steglitz-Zehlendorf" TargetMode="External"/><Relationship Id="rId7" Type="http://schemas.openxmlformats.org/officeDocument/2006/relationships/hyperlink" Target="https://en.wikipedia.org/wiki/Charlottenburg-Nord" TargetMode="External"/><Relationship Id="rId12" Type="http://schemas.openxmlformats.org/officeDocument/2006/relationships/hyperlink" Target="https://en.wikipedia.org/wiki/Mitte" TargetMode="External"/><Relationship Id="rId17" Type="http://schemas.openxmlformats.org/officeDocument/2006/relationships/hyperlink" Target="https://en.wikipedia.org/wiki/Reinickendorf" TargetMode="External"/><Relationship Id="rId25" Type="http://schemas.openxmlformats.org/officeDocument/2006/relationships/hyperlink" Target="https://en.wikipedia.org/wiki/Berlin-Treptow-K%C3%B6penick" TargetMode="External"/><Relationship Id="rId2" Type="http://schemas.openxmlformats.org/officeDocument/2006/relationships/hyperlink" Target="https://en.wikipedia.org/wiki/Population" TargetMode="External"/><Relationship Id="rId16" Type="http://schemas.openxmlformats.org/officeDocument/2006/relationships/hyperlink" Target="https://en.wikipedia.org/wiki/Berlin-Pankow_(electoral_district)" TargetMode="External"/><Relationship Id="rId20" Type="http://schemas.openxmlformats.org/officeDocument/2006/relationships/hyperlink" Target="https://en.wikipedia.org/wiki/Berlin-Spandau_%E2%80%93_Charlottenburg_North" TargetMode="External"/><Relationship Id="rId1" Type="http://schemas.openxmlformats.org/officeDocument/2006/relationships/hyperlink" Target="https://en.wikipedia.org/wiki/List_of_Bundestag_constituencies" TargetMode="External"/><Relationship Id="rId6" Type="http://schemas.openxmlformats.org/officeDocument/2006/relationships/hyperlink" Target="https://en.wikipedia.org/wiki/Berlin-Charlottenburg-Wilmersdorf" TargetMode="External"/><Relationship Id="rId11" Type="http://schemas.openxmlformats.org/officeDocument/2006/relationships/hyperlink" Target="https://en.wikipedia.org/wiki/Berlin-Marzahn-Hellersdorf" TargetMode="External"/><Relationship Id="rId24" Type="http://schemas.openxmlformats.org/officeDocument/2006/relationships/hyperlink" Target="https://en.wikipedia.org/wiki/Berlin-Tempelhof-Sch%C3%B6neberg" TargetMode="External"/><Relationship Id="rId5" Type="http://schemas.openxmlformats.org/officeDocument/2006/relationships/hyperlink" Target="https://en.wikipedia.org/wiki/Charlottenburg-Wilmersdorf" TargetMode="External"/><Relationship Id="rId15" Type="http://schemas.openxmlformats.org/officeDocument/2006/relationships/hyperlink" Target="https://en.wikipedia.org/wiki/Berlin-Neuk%C3%B6lln_(electoral_district)" TargetMode="External"/><Relationship Id="rId23" Type="http://schemas.openxmlformats.org/officeDocument/2006/relationships/hyperlink" Target="https://en.wikipedia.org/wiki/Tempelhof-Sch%C3%B6neberg" TargetMode="External"/><Relationship Id="rId10" Type="http://schemas.openxmlformats.org/officeDocument/2006/relationships/hyperlink" Target="https://en.wikipedia.org/wiki/Berlin-Lichtenberg_(electoral_district)" TargetMode="External"/><Relationship Id="rId19" Type="http://schemas.openxmlformats.org/officeDocument/2006/relationships/hyperlink" Target="https://en.wikipedia.org/wiki/Spandau" TargetMode="External"/><Relationship Id="rId4" Type="http://schemas.openxmlformats.org/officeDocument/2006/relationships/hyperlink" Target="https://en.wikipedia.org/wiki/Population_density" TargetMode="External"/><Relationship Id="rId9" Type="http://schemas.openxmlformats.org/officeDocument/2006/relationships/hyperlink" Target="https://en.wikipedia.org/wiki/Berlin-Friedrichshain-Kreuzberg_%E2%80%93_Prenzlauer_Berg_East" TargetMode="External"/><Relationship Id="rId14" Type="http://schemas.openxmlformats.org/officeDocument/2006/relationships/hyperlink" Target="https://en.wikipedia.org/wiki/Neuk%C3%B6lln" TargetMode="External"/><Relationship Id="rId22" Type="http://schemas.openxmlformats.org/officeDocument/2006/relationships/hyperlink" Target="https://en.wikipedia.org/wiki/Berlin-Steglitz-Zehlendo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49ED-EF25-4FCC-9CDA-F3D96775DD7B}">
  <dimension ref="A1:F13"/>
  <sheetViews>
    <sheetView tabSelected="1" zoomScale="74" workbookViewId="0">
      <selection activeCell="D6" sqref="D6"/>
    </sheetView>
  </sheetViews>
  <sheetFormatPr defaultColWidth="35.33203125" defaultRowHeight="45.6" customHeight="1" x14ac:dyDescent="0.3"/>
  <cols>
    <col min="1" max="1" width="20" bestFit="1" customWidth="1"/>
    <col min="2" max="2" width="34.44140625" bestFit="1" customWidth="1"/>
    <col min="3" max="3" width="34.33203125" bestFit="1" customWidth="1"/>
    <col min="4" max="4" width="33.33203125" bestFit="1" customWidth="1"/>
    <col min="5" max="5" width="34.88671875" bestFit="1" customWidth="1"/>
  </cols>
  <sheetData>
    <row r="1" spans="1:6" ht="45.6" customHeight="1" thickBot="1" x14ac:dyDescent="0.3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ht="45.6" customHeight="1" thickBot="1" x14ac:dyDescent="0.35">
      <c r="A2" s="1" t="s">
        <v>1</v>
      </c>
      <c r="B2" s="2" t="s">
        <v>47</v>
      </c>
      <c r="C2" s="2">
        <v>9</v>
      </c>
      <c r="D2" s="2">
        <v>5</v>
      </c>
      <c r="E2" s="2">
        <v>6</v>
      </c>
      <c r="F2" s="2" t="s">
        <v>48</v>
      </c>
    </row>
    <row r="3" spans="1:6" ht="45.6" customHeight="1" thickBot="1" x14ac:dyDescent="0.35">
      <c r="A3" s="1" t="s">
        <v>2</v>
      </c>
      <c r="B3" s="2" t="s">
        <v>49</v>
      </c>
      <c r="C3" s="1">
        <v>10</v>
      </c>
      <c r="D3" s="2">
        <v>4</v>
      </c>
      <c r="E3" s="2">
        <v>4</v>
      </c>
      <c r="F3" s="2" t="s">
        <v>50</v>
      </c>
    </row>
    <row r="4" spans="1:6" ht="45.6" customHeight="1" thickBot="1" x14ac:dyDescent="0.35">
      <c r="A4" s="1" t="s">
        <v>8</v>
      </c>
      <c r="B4" s="2" t="s">
        <v>51</v>
      </c>
      <c r="C4" s="2">
        <v>9</v>
      </c>
      <c r="D4" s="2">
        <v>6</v>
      </c>
      <c r="E4" s="2">
        <v>3</v>
      </c>
      <c r="F4" s="2" t="s">
        <v>52</v>
      </c>
    </row>
    <row r="5" spans="1:6" ht="45.6" customHeight="1" thickBot="1" x14ac:dyDescent="0.35">
      <c r="A5" s="1" t="s">
        <v>3</v>
      </c>
      <c r="B5" s="2" t="s">
        <v>53</v>
      </c>
      <c r="C5" s="2">
        <v>7</v>
      </c>
      <c r="D5" s="1">
        <v>10</v>
      </c>
      <c r="E5" s="2">
        <v>7</v>
      </c>
      <c r="F5" s="1" t="s">
        <v>54</v>
      </c>
    </row>
    <row r="6" spans="1:6" ht="45.6" customHeight="1" thickBot="1" x14ac:dyDescent="0.35">
      <c r="A6" s="1" t="s">
        <v>6</v>
      </c>
      <c r="B6" s="2" t="s">
        <v>55</v>
      </c>
      <c r="C6" s="2">
        <v>4</v>
      </c>
      <c r="D6" s="2">
        <v>8</v>
      </c>
      <c r="E6" s="1">
        <v>10</v>
      </c>
      <c r="F6" s="1" t="s">
        <v>56</v>
      </c>
    </row>
    <row r="7" spans="1:6" ht="45.6" customHeight="1" thickBot="1" x14ac:dyDescent="0.35">
      <c r="A7" s="1" t="s">
        <v>7</v>
      </c>
      <c r="B7" s="2" t="s">
        <v>57</v>
      </c>
      <c r="C7" s="2">
        <v>5</v>
      </c>
      <c r="D7" s="2">
        <v>8</v>
      </c>
      <c r="E7" s="2">
        <v>5</v>
      </c>
      <c r="F7" s="2" t="s">
        <v>58</v>
      </c>
    </row>
    <row r="8" spans="1:6" ht="45.6" customHeight="1" thickBot="1" x14ac:dyDescent="0.35">
      <c r="A8" s="1" t="s">
        <v>5</v>
      </c>
      <c r="B8" s="2" t="s">
        <v>59</v>
      </c>
      <c r="C8" s="2">
        <v>7</v>
      </c>
      <c r="D8" s="1">
        <v>10</v>
      </c>
      <c r="E8" s="2">
        <v>9</v>
      </c>
      <c r="F8" s="1" t="s">
        <v>60</v>
      </c>
    </row>
    <row r="9" spans="1:6" ht="45.6" customHeight="1" thickBot="1" x14ac:dyDescent="0.35">
      <c r="A9" s="1" t="s">
        <v>4</v>
      </c>
      <c r="B9" s="2" t="s">
        <v>61</v>
      </c>
      <c r="C9" s="2">
        <v>9</v>
      </c>
      <c r="D9" s="2">
        <v>7</v>
      </c>
      <c r="E9" s="2">
        <v>6</v>
      </c>
      <c r="F9" s="2" t="s">
        <v>62</v>
      </c>
    </row>
    <row r="10" spans="1:6" ht="45.6" customHeight="1" thickBot="1" x14ac:dyDescent="0.35">
      <c r="A10" s="1" t="s">
        <v>63</v>
      </c>
      <c r="B10" s="2" t="s">
        <v>64</v>
      </c>
      <c r="C10" s="2">
        <v>3</v>
      </c>
      <c r="D10" s="2">
        <v>7</v>
      </c>
      <c r="E10" s="2">
        <v>8</v>
      </c>
      <c r="F10" s="1" t="s">
        <v>65</v>
      </c>
    </row>
    <row r="11" spans="1:6" ht="45.6" customHeight="1" thickBot="1" x14ac:dyDescent="0.35">
      <c r="A11" s="1" t="s">
        <v>66</v>
      </c>
      <c r="B11" s="2" t="s">
        <v>67</v>
      </c>
      <c r="C11" s="2">
        <v>6</v>
      </c>
      <c r="D11" s="2">
        <v>7</v>
      </c>
      <c r="E11" s="1">
        <v>9</v>
      </c>
      <c r="F11" s="1" t="s">
        <v>68</v>
      </c>
    </row>
    <row r="12" spans="1:6" ht="45.6" customHeight="1" thickBot="1" x14ac:dyDescent="0.35">
      <c r="A12" s="1" t="s">
        <v>10</v>
      </c>
      <c r="B12" s="2" t="s">
        <v>69</v>
      </c>
      <c r="C12" s="2">
        <v>6</v>
      </c>
      <c r="D12" s="2">
        <v>7</v>
      </c>
      <c r="E12" s="2">
        <v>7</v>
      </c>
      <c r="F12" s="2" t="s">
        <v>70</v>
      </c>
    </row>
    <row r="13" spans="1:6" ht="45.6" customHeight="1" thickBot="1" x14ac:dyDescent="0.35">
      <c r="A13" s="1" t="s">
        <v>9</v>
      </c>
      <c r="B13" s="2" t="s">
        <v>71</v>
      </c>
      <c r="C13" s="2">
        <v>5</v>
      </c>
      <c r="D13" s="1">
        <v>9</v>
      </c>
      <c r="E13" s="2">
        <v>8</v>
      </c>
      <c r="F13" s="1" t="s">
        <v>72</v>
      </c>
    </row>
  </sheetData>
  <autoFilter ref="A1:E13" xr:uid="{0C4E49ED-EF25-4FCC-9CDA-F3D96775DD7B}">
    <sortState xmlns:xlrd2="http://schemas.microsoft.com/office/spreadsheetml/2017/richdata2" ref="A2:E13">
      <sortCondition ref="B1:B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0C12-0FB6-4272-A46D-3874FF307B75}">
  <dimension ref="A1:G21"/>
  <sheetViews>
    <sheetView zoomScale="84" workbookViewId="0">
      <selection activeCell="I12" sqref="I12"/>
    </sheetView>
  </sheetViews>
  <sheetFormatPr defaultColWidth="34.88671875" defaultRowHeight="14.4" x14ac:dyDescent="0.3"/>
  <sheetData>
    <row r="1" spans="1:7" x14ac:dyDescent="0.3">
      <c r="A1" s="17" t="s">
        <v>11</v>
      </c>
      <c r="B1" s="19" t="s">
        <v>12</v>
      </c>
      <c r="C1" s="3" t="s">
        <v>13</v>
      </c>
      <c r="D1" s="3" t="s">
        <v>15</v>
      </c>
      <c r="E1" s="3" t="s">
        <v>17</v>
      </c>
      <c r="F1" s="17" t="s">
        <v>19</v>
      </c>
    </row>
    <row r="2" spans="1:7" ht="15" thickBot="1" x14ac:dyDescent="0.35">
      <c r="A2" s="18"/>
      <c r="B2" s="20"/>
      <c r="C2" s="4" t="s">
        <v>14</v>
      </c>
      <c r="D2" s="4" t="s">
        <v>16</v>
      </c>
      <c r="E2" s="4" t="s">
        <v>18</v>
      </c>
      <c r="F2" s="18"/>
    </row>
    <row r="3" spans="1:7" x14ac:dyDescent="0.3">
      <c r="A3" s="21" t="s">
        <v>20</v>
      </c>
      <c r="B3" s="5" t="s">
        <v>21</v>
      </c>
      <c r="C3" s="31">
        <v>343.08100000000002</v>
      </c>
      <c r="D3" s="23">
        <v>64.72</v>
      </c>
      <c r="E3" s="23">
        <v>5.3010000000000002</v>
      </c>
      <c r="F3" s="26" t="e" vm="1">
        <v>#VALUE!</v>
      </c>
    </row>
    <row r="4" spans="1:7" ht="62.4" customHeight="1" thickBot="1" x14ac:dyDescent="0.35">
      <c r="A4" s="22"/>
      <c r="B4" s="6" t="s">
        <v>22</v>
      </c>
      <c r="C4" s="24"/>
      <c r="D4" s="24"/>
      <c r="E4" s="24"/>
      <c r="F4" s="27"/>
      <c r="G4">
        <f>C3/D3</f>
        <v>5.3010043263288011</v>
      </c>
    </row>
    <row r="5" spans="1:7" ht="29.4" thickBot="1" x14ac:dyDescent="0.35">
      <c r="A5" s="8" t="s">
        <v>23</v>
      </c>
      <c r="B5" s="8" t="s">
        <v>24</v>
      </c>
      <c r="C5" s="9">
        <v>293.45400000000001</v>
      </c>
      <c r="D5" s="9">
        <v>20.16</v>
      </c>
      <c r="E5" s="9">
        <v>14.555999999999999</v>
      </c>
      <c r="F5" s="11" t="e" vm="1">
        <v>#VALUE!</v>
      </c>
      <c r="G5" t="e">
        <f t="shared" ref="G5:G22" si="0">C4/D4</f>
        <v>#DIV/0!</v>
      </c>
    </row>
    <row r="6" spans="1:7" ht="15" thickBot="1" x14ac:dyDescent="0.35">
      <c r="A6" s="7" t="s">
        <v>25</v>
      </c>
      <c r="B6" s="8" t="s">
        <v>26</v>
      </c>
      <c r="C6" s="9">
        <v>311.88099999999997</v>
      </c>
      <c r="D6" s="9">
        <v>52.29</v>
      </c>
      <c r="E6" s="9">
        <v>5.9640000000000004</v>
      </c>
      <c r="F6" s="11" t="e" vm="1">
        <v>#VALUE!</v>
      </c>
      <c r="G6">
        <f>C5/D5</f>
        <v>14.55625</v>
      </c>
    </row>
    <row r="7" spans="1:7" ht="15" thickBot="1" x14ac:dyDescent="0.35">
      <c r="A7" s="7" t="s">
        <v>27</v>
      </c>
      <c r="B7" s="8" t="s">
        <v>28</v>
      </c>
      <c r="C7" s="9">
        <v>291.94799999999998</v>
      </c>
      <c r="D7" s="9">
        <v>61.74</v>
      </c>
      <c r="E7" s="9">
        <v>4.7279999999999998</v>
      </c>
      <c r="F7" s="11" t="e" vm="1">
        <v>#VALUE!</v>
      </c>
      <c r="G7">
        <f t="shared" si="0"/>
        <v>5.964448269267546</v>
      </c>
    </row>
    <row r="8" spans="1:7" ht="15" thickBot="1" x14ac:dyDescent="0.35">
      <c r="A8" s="8" t="s">
        <v>1</v>
      </c>
      <c r="B8" s="8" t="s">
        <v>29</v>
      </c>
      <c r="C8" s="9">
        <v>397.13400000000001</v>
      </c>
      <c r="D8" s="9">
        <v>39.47</v>
      </c>
      <c r="E8" s="9">
        <v>10.061999999999999</v>
      </c>
      <c r="F8" s="11" t="e" vm="1">
        <v>#VALUE!</v>
      </c>
      <c r="G8">
        <f t="shared" si="0"/>
        <v>4.7286686103012627</v>
      </c>
    </row>
    <row r="9" spans="1:7" ht="15" thickBot="1" x14ac:dyDescent="0.35">
      <c r="A9" s="8" t="s">
        <v>4</v>
      </c>
      <c r="B9" s="8" t="s">
        <v>30</v>
      </c>
      <c r="C9" s="9">
        <v>330.017</v>
      </c>
      <c r="D9" s="9">
        <v>44.93</v>
      </c>
      <c r="E9" s="9">
        <v>7.3449999999999998</v>
      </c>
      <c r="F9" s="11" t="e" vm="1">
        <v>#VALUE!</v>
      </c>
      <c r="G9">
        <f>C8/D8</f>
        <v>10.061667088928301</v>
      </c>
    </row>
    <row r="10" spans="1:7" x14ac:dyDescent="0.3">
      <c r="A10" s="26" t="s">
        <v>31</v>
      </c>
      <c r="B10" s="5" t="s">
        <v>32</v>
      </c>
      <c r="C10" s="23">
        <v>424.30700000000002</v>
      </c>
      <c r="D10" s="23">
        <v>103.01</v>
      </c>
      <c r="E10" s="23">
        <v>4.1189999999999998</v>
      </c>
      <c r="F10" s="25" t="e" vm="1">
        <v>#VALUE!</v>
      </c>
      <c r="G10">
        <f>C9/D9</f>
        <v>7.3451368795904743</v>
      </c>
    </row>
    <row r="11" spans="1:7" x14ac:dyDescent="0.3">
      <c r="A11" s="28"/>
      <c r="B11" s="12"/>
      <c r="C11" s="30"/>
      <c r="D11" s="30"/>
      <c r="E11" s="30"/>
      <c r="F11" s="28"/>
      <c r="G11">
        <f t="shared" si="0"/>
        <v>4.1190855256771188</v>
      </c>
    </row>
    <row r="12" spans="1:7" x14ac:dyDescent="0.3">
      <c r="A12" s="28"/>
      <c r="B12" s="12"/>
      <c r="C12" s="30"/>
      <c r="D12" s="30"/>
      <c r="E12" s="30"/>
      <c r="F12" s="28"/>
      <c r="G12" t="e">
        <f t="shared" si="0"/>
        <v>#DIV/0!</v>
      </c>
    </row>
    <row r="13" spans="1:7" x14ac:dyDescent="0.3">
      <c r="A13" s="28"/>
      <c r="B13" s="12"/>
      <c r="C13" s="30"/>
      <c r="D13" s="30"/>
      <c r="E13" s="30"/>
      <c r="F13" s="28"/>
      <c r="G13" t="e">
        <f t="shared" si="0"/>
        <v>#DIV/0!</v>
      </c>
    </row>
    <row r="14" spans="1:7" x14ac:dyDescent="0.3">
      <c r="A14" s="28"/>
      <c r="B14" s="13"/>
      <c r="C14" s="30"/>
      <c r="D14" s="30"/>
      <c r="E14" s="30"/>
      <c r="F14" s="28"/>
      <c r="G14" t="e">
        <f t="shared" si="0"/>
        <v>#DIV/0!</v>
      </c>
    </row>
    <row r="15" spans="1:7" ht="27" thickBot="1" x14ac:dyDescent="0.35">
      <c r="A15" s="29"/>
      <c r="B15" s="14" t="s">
        <v>33</v>
      </c>
      <c r="C15" s="24"/>
      <c r="D15" s="24"/>
      <c r="E15" s="24"/>
      <c r="F15" s="27"/>
      <c r="G15" t="e">
        <f t="shared" si="0"/>
        <v>#DIV/0!</v>
      </c>
    </row>
    <row r="16" spans="1:7" ht="15" thickBot="1" x14ac:dyDescent="0.35">
      <c r="A16" s="8" t="s">
        <v>9</v>
      </c>
      <c r="B16" s="8" t="s">
        <v>34</v>
      </c>
      <c r="C16" s="9">
        <v>268.79199999999997</v>
      </c>
      <c r="D16" s="9">
        <v>89.46</v>
      </c>
      <c r="E16" s="9">
        <v>3.0049999999999999</v>
      </c>
      <c r="F16" s="11" t="e" vm="1">
        <v>#VALUE!</v>
      </c>
      <c r="G16" t="e">
        <f t="shared" si="0"/>
        <v>#DIV/0!</v>
      </c>
    </row>
    <row r="17" spans="1:7" ht="15" thickBot="1" x14ac:dyDescent="0.35">
      <c r="A17" s="8" t="s">
        <v>6</v>
      </c>
      <c r="B17" s="8" t="s">
        <v>35</v>
      </c>
      <c r="C17" s="9">
        <v>257.09100000000001</v>
      </c>
      <c r="D17" s="9">
        <v>91.91</v>
      </c>
      <c r="E17" s="9">
        <v>2.7970000000000002</v>
      </c>
      <c r="F17" s="11" t="e" vm="1">
        <v>#VALUE!</v>
      </c>
      <c r="G17">
        <f t="shared" si="0"/>
        <v>3.004605410239213</v>
      </c>
    </row>
    <row r="18" spans="1:7" ht="15" thickBot="1" x14ac:dyDescent="0.35">
      <c r="A18" s="8" t="s">
        <v>36</v>
      </c>
      <c r="B18" s="8" t="s">
        <v>37</v>
      </c>
      <c r="C18" s="9">
        <v>310.44600000000003</v>
      </c>
      <c r="D18" s="9">
        <v>102.5</v>
      </c>
      <c r="E18" s="9">
        <v>3.0289999999999999</v>
      </c>
      <c r="F18" s="11" t="e" vm="1">
        <v>#VALUE!</v>
      </c>
      <c r="G18">
        <f t="shared" si="0"/>
        <v>2.7972037863126973</v>
      </c>
    </row>
    <row r="19" spans="1:7" ht="15" thickBot="1" x14ac:dyDescent="0.35">
      <c r="A19" s="8" t="s">
        <v>38</v>
      </c>
      <c r="B19" s="8" t="s">
        <v>39</v>
      </c>
      <c r="C19" s="9">
        <v>355.86799999999999</v>
      </c>
      <c r="D19" s="9">
        <v>53.09</v>
      </c>
      <c r="E19" s="9">
        <v>6.7030000000000003</v>
      </c>
      <c r="F19" s="11" t="e" vm="1">
        <v>#VALUE!</v>
      </c>
      <c r="G19">
        <f t="shared" si="0"/>
        <v>3.0287414634146343</v>
      </c>
    </row>
    <row r="20" spans="1:7" ht="15" thickBot="1" x14ac:dyDescent="0.35">
      <c r="A20" s="11" t="s">
        <v>40</v>
      </c>
      <c r="B20" s="15" t="s">
        <v>41</v>
      </c>
      <c r="C20" s="16">
        <v>294.08100000000002</v>
      </c>
      <c r="D20" s="16">
        <v>168.42</v>
      </c>
      <c r="E20" s="16">
        <v>1.746</v>
      </c>
      <c r="F20" s="10"/>
      <c r="G20">
        <f t="shared" si="0"/>
        <v>6.7031079299303062</v>
      </c>
    </row>
    <row r="21" spans="1:7" x14ac:dyDescent="0.3">
      <c r="G21">
        <f t="shared" si="0"/>
        <v>1.7461168507303173</v>
      </c>
    </row>
  </sheetData>
  <autoFilter ref="A1:F35" xr:uid="{83E10C12-0FB6-4272-A46D-3874FF307B75}"/>
  <mergeCells count="13">
    <mergeCell ref="A10:A15"/>
    <mergeCell ref="C10:C15"/>
    <mergeCell ref="D10:D15"/>
    <mergeCell ref="E10:E15"/>
    <mergeCell ref="F10:F15"/>
    <mergeCell ref="A1:A2"/>
    <mergeCell ref="B1:B2"/>
    <mergeCell ref="F1:F2"/>
    <mergeCell ref="A3:A4"/>
    <mergeCell ref="C3:C4"/>
    <mergeCell ref="D3:D4"/>
    <mergeCell ref="E3:E4"/>
    <mergeCell ref="F3:F4"/>
  </mergeCells>
  <hyperlinks>
    <hyperlink ref="B1" r:id="rId1" location="Berlin" tooltip="List of Bundestag constituencies" display="https://en.wikipedia.org/wiki/List_of_Bundestag_constituencies - Berlin" xr:uid="{54CCDEE2-3754-4C85-9F0E-B24A10E44A86}"/>
    <hyperlink ref="C1" r:id="rId2" tooltip="Population" display="https://en.wikipedia.org/wiki/Population" xr:uid="{D7455AB0-802B-4067-9614-C4B3EDFB6EC4}"/>
    <hyperlink ref="D1" r:id="rId3" tooltip="Area" display="https://en.wikipedia.org/wiki/Area" xr:uid="{D2FAB6BB-437F-4461-8A79-FD55D2AC8A15}"/>
    <hyperlink ref="E1" r:id="rId4" tooltip="Population density" display="https://en.wikipedia.org/wiki/Population_density" xr:uid="{565DEE27-3024-440A-8221-766F0D5D2050}"/>
    <hyperlink ref="A3" r:id="rId5" tooltip="Charlottenburg-Wilmersdorf" display="https://en.wikipedia.org/wiki/Charlottenburg-Wilmersdorf" xr:uid="{0780FA0E-8628-4967-93BB-CAF208187EE6}"/>
    <hyperlink ref="B3" r:id="rId6" tooltip="Berlin-Charlottenburg-Wilmersdorf" display="https://en.wikipedia.org/wiki/Berlin-Charlottenburg-Wilmersdorf" xr:uid="{BF932C08-199D-40E4-94E0-14192AEBE400}"/>
    <hyperlink ref="B4" r:id="rId7" tooltip="Charlottenburg-Nord" display="https://en.wikipedia.org/wiki/Charlottenburg-Nord" xr:uid="{EBBFE72A-E239-468C-8673-8B86E541064C}"/>
    <hyperlink ref="A5" r:id="rId8" tooltip="Friedrichshain-Kreuzberg" display="https://en.wikipedia.org/wiki/Friedrichshain-Kreuzberg" xr:uid="{AB324C5E-90C7-4BAE-9D72-BB8CAB979A6F}"/>
    <hyperlink ref="B5" r:id="rId9" tooltip="Berlin-Friedrichshain-Kreuzberg – Prenzlauer Berg East" display="https://en.wikipedia.org/wiki/Berlin-Friedrichshain-Kreuzberg_%E2%80%93_Prenzlauer_Berg_East" xr:uid="{54B9B71B-1B5E-47B2-8279-CB09A7586E70}"/>
    <hyperlink ref="B6" r:id="rId10" tooltip="Berlin-Lichtenberg (electoral district)" display="https://en.wikipedia.org/wiki/Berlin-Lichtenberg_(electoral_district)" xr:uid="{A74333BF-E457-4E0A-B1B8-B8E3418BC056}"/>
    <hyperlink ref="B7" r:id="rId11" tooltip="Berlin-Marzahn-Hellersdorf" display="https://en.wikipedia.org/wiki/Berlin-Marzahn-Hellersdorf" xr:uid="{3C7B64CE-D3F3-4D98-9988-B05CB46B7EF3}"/>
    <hyperlink ref="A8" r:id="rId12" tooltip="Mitte" display="https://en.wikipedia.org/wiki/Mitte" xr:uid="{6A30F7DE-8689-4601-AD67-8898D425F3E0}"/>
    <hyperlink ref="B8" r:id="rId13" tooltip="Berlin-Mitte (electoral district)" display="https://en.wikipedia.org/wiki/Berlin-Mitte_(electoral_district)" xr:uid="{EA7A0167-DFFA-4DA2-9F4B-83B8DE086C0B}"/>
    <hyperlink ref="A9" r:id="rId14" tooltip="Neukölln" display="https://en.wikipedia.org/wiki/Neuk%C3%B6lln" xr:uid="{C179A982-83FF-4632-908F-6D0D10FEEB9E}"/>
    <hyperlink ref="B9" r:id="rId15" tooltip="Berlin-Neukölln (electoral district)" display="https://en.wikipedia.org/wiki/Berlin-Neuk%C3%B6lln_(electoral_district)" xr:uid="{6C8BD9B3-3F96-484D-90B5-AAF91A9E9D0F}"/>
    <hyperlink ref="B10" r:id="rId16" tooltip="Berlin-Pankow (electoral district)" display="https://en.wikipedia.org/wiki/Berlin-Pankow_(electoral_district)" xr:uid="{0D969643-DD1D-471D-BAD6-B6E7CC8C4153}"/>
    <hyperlink ref="A16" r:id="rId17" tooltip="Reinickendorf" display="https://en.wikipedia.org/wiki/Reinickendorf" xr:uid="{24DDB1ED-40E0-4E11-AD0C-7A3650926F2B}"/>
    <hyperlink ref="B16" r:id="rId18" tooltip="Berlin-Reinickendorf (electoral district)" display="https://en.wikipedia.org/wiki/Berlin-Reinickendorf_(electoral_district)" xr:uid="{455FF618-5E5B-4765-8FCB-64654BCD3DEB}"/>
    <hyperlink ref="A17" r:id="rId19" tooltip="Spandau" display="https://en.wikipedia.org/wiki/Spandau" xr:uid="{3102A8F5-6A8A-4E64-8E55-C81BA7E2567F}"/>
    <hyperlink ref="B17" r:id="rId20" tooltip="Berlin-Spandau – Charlottenburg North" display="https://en.wikipedia.org/wiki/Berlin-Spandau_%E2%80%93_Charlottenburg_North" xr:uid="{649D5C2E-C181-40CC-BED1-1ED56043F76E}"/>
    <hyperlink ref="A18" r:id="rId21" tooltip="Steglitz-Zehlendorf" display="https://en.wikipedia.org/wiki/Steglitz-Zehlendorf" xr:uid="{660DA37E-D7E3-47E0-B982-891F94E96E01}"/>
    <hyperlink ref="B18" r:id="rId22" tooltip="Berlin-Steglitz-Zehlendorf" display="https://en.wikipedia.org/wiki/Berlin-Steglitz-Zehlendorf" xr:uid="{047D52F8-3F51-4695-BD24-475331852DE5}"/>
    <hyperlink ref="A19" r:id="rId23" tooltip="Tempelhof-Schöneberg" display="https://en.wikipedia.org/wiki/Tempelhof-Sch%C3%B6neberg" xr:uid="{574E5101-44F6-4F2D-9202-D0F6C61FC9C8}"/>
    <hyperlink ref="B19" r:id="rId24" tooltip="Berlin-Tempelhof-Schöneberg" display="https://en.wikipedia.org/wiki/Berlin-Tempelhof-Sch%C3%B6neberg" xr:uid="{E9FAC3D3-B09D-46B2-9F6F-45E2BDFE6350}"/>
    <hyperlink ref="B20" r:id="rId25" tooltip="Berlin-Treptow-Köpenick" display="https://en.wikipedia.org/wiki/Berlin-Treptow-K%C3%B6penick" xr:uid="{85AF9CDE-A5EC-493A-A472-97A0AB7BB3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00BC-845B-4BB2-A6A8-1DC600A1EC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elifnaz suluhan</dc:creator>
  <cp:lastModifiedBy>elifnaz suluhan</cp:lastModifiedBy>
  <dcterms:created xsi:type="dcterms:W3CDTF">2025-11-23T17:15:22Z</dcterms:created>
  <dcterms:modified xsi:type="dcterms:W3CDTF">2025-11-24T08:05:55Z</dcterms:modified>
</cp:coreProperties>
</file>